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会议记录" sheetId="1" state="visible" r:id="rId1"/>
    <sheet xmlns:r="http://schemas.openxmlformats.org/officeDocument/2006/relationships" name="数据环比" sheetId="2" state="visible" r:id="rId2"/>
  </sheets>
  <definedNames>
    <definedName name="_xlnm.Print_Area" localSheetId="0">'会议记录'!$A$1:$P$8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&quot;年&quot;m&quot;月&quot;d&quot;日&quot;;@"/>
    <numFmt numFmtId="165" formatCode="$#,##0.00;[Red]($#,##0.00)"/>
  </numFmts>
  <fonts count="23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name val="等线"/>
      <color rgb="FF000000"/>
      <sz val="10"/>
    </font>
    <font>
      <name val="等线"/>
      <color rgb="FF000000"/>
      <sz val="12"/>
    </font>
    <font>
      <name val="仿宋"/>
      <color rgb="FF000000"/>
      <sz val="12"/>
    </font>
    <font>
      <name val="Microsoft YaHei"/>
      <b val="1"/>
      <color rgb="FF000000"/>
      <sz val="16"/>
    </font>
    <font>
      <name val="Microsoft YaHei"/>
      <color rgb="FF000000"/>
      <sz val="10"/>
    </font>
    <font>
      <name val="Microsoft YaHei"/>
      <b val="1"/>
      <color rgb="FF000000"/>
      <sz val="11"/>
    </font>
    <font>
      <name val="仿宋"/>
      <color rgb="FF000000"/>
      <sz val="14"/>
    </font>
    <font>
      <sz val="10"/>
    </font>
    <font>
      <name val="微软雅黑"/>
      <b val="1"/>
      <color rgb="FF1D41D5"/>
      <sz val="18"/>
    </font>
    <font>
      <name val="微软雅黑"/>
      <b val="1"/>
      <color rgb="FFFFFFFF"/>
      <sz val="14"/>
    </font>
    <font>
      <name val="微软雅黑"/>
      <b val="1"/>
      <color rgb="FFFFFFFF"/>
      <sz val="16"/>
    </font>
    <font>
      <name val="微软雅黑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FFFF0000"/>
      <sz val="10"/>
    </font>
    <font>
      <name val="Arial"/>
      <b val="1"/>
      <color rgb="FFFE0300"/>
      <sz val="10"/>
    </font>
    <font>
      <name val="Arial"/>
      <color rgb="FFFE0300"/>
      <sz val="10"/>
    </font>
    <font>
      <name val="Microsoft YaHei"/>
      <color rgb="FF000000"/>
      <sz val="10"/>
    </font>
    <font>
      <name val="Microsoft YaHei"/>
      <color rgb="FF000000"/>
      <sz val="10"/>
    </font>
  </fonts>
  <fills count="11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BFBFBF"/>
      </patternFill>
    </fill>
    <fill>
      <patternFill patternType="solid">
        <fgColor rgb="FF244061"/>
      </patternFill>
    </fill>
    <fill>
      <patternFill patternType="solid">
        <fgColor rgb="FFB8CCE4"/>
      </patternFill>
    </fill>
    <fill>
      <patternFill patternType="solid">
        <fgColor rgb="FFDBE5F1"/>
      </patternFill>
    </fill>
    <fill>
      <patternFill patternType="solid">
        <fgColor rgb="FFE5B9B7"/>
      </patternFill>
    </fill>
    <fill>
      <patternFill patternType="solid">
        <fgColor rgb="FFD6E3BC"/>
      </patternFill>
    </fill>
    <fill>
      <patternFill patternType="solid">
        <fgColor rgb="FFFAC090"/>
      </patternFill>
    </fill>
    <fill>
      <patternFill patternType="solid">
        <fgColor rgb="FFB2A2C7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general" vertical="center"/>
    </xf>
    <xf numFmtId="0" fontId="5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164" fontId="8" fillId="0" borderId="2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left" vertical="center" wrapText="1"/>
    </xf>
    <xf numFmtId="0" fontId="8" fillId="0" borderId="4" applyAlignment="1" pivotButton="0" quotePrefix="0" xfId="0">
      <alignment horizontal="left" vertical="center" wrapText="1"/>
    </xf>
    <xf numFmtId="0" fontId="8" fillId="0" borderId="5" applyAlignment="1" pivotButton="0" quotePrefix="0" xfId="0">
      <alignment horizontal="center" vertical="center" wrapText="1"/>
    </xf>
    <xf numFmtId="0" fontId="9" fillId="2" borderId="6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general" vertical="center" wrapText="1"/>
    </xf>
    <xf numFmtId="0" fontId="8" fillId="0" borderId="7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0" fontId="12" fillId="3" borderId="0" applyAlignment="1" pivotButton="0" quotePrefix="0" xfId="0">
      <alignment horizontal="center" vertical="center" wrapText="1"/>
    </xf>
    <xf numFmtId="0" fontId="13" fillId="4" borderId="3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 wrapText="1"/>
    </xf>
    <xf numFmtId="0" fontId="14" fillId="4" borderId="3" applyAlignment="1" pivotButton="0" quotePrefix="0" xfId="0">
      <alignment horizontal="center" vertical="center"/>
    </xf>
    <xf numFmtId="0" fontId="15" fillId="5" borderId="3" applyAlignment="1" pivotButton="0" quotePrefix="0" xfId="0">
      <alignment horizontal="center" vertical="center" wrapText="1"/>
    </xf>
    <xf numFmtId="0" fontId="15" fillId="5" borderId="3" applyAlignment="1" pivotButton="0" quotePrefix="0" xfId="0">
      <alignment horizontal="left" vertical="center"/>
    </xf>
    <xf numFmtId="0" fontId="16" fillId="6" borderId="3" applyAlignment="1" pivotButton="0" quotePrefix="0" xfId="0">
      <alignment horizontal="center" vertical="center"/>
    </xf>
    <xf numFmtId="10" fontId="17" fillId="5" borderId="3" applyAlignment="1" pivotButton="0" quotePrefix="0" xfId="0">
      <alignment horizontal="center" vertical="center"/>
    </xf>
    <xf numFmtId="4" fontId="16" fillId="6" borderId="3" applyAlignment="1" pivotButton="0" quotePrefix="0" xfId="0">
      <alignment horizontal="center" vertical="center"/>
    </xf>
    <xf numFmtId="165" fontId="18" fillId="6" borderId="3" applyAlignment="1" pivotButton="0" quotePrefix="0" xfId="0">
      <alignment horizontal="center" vertical="center"/>
    </xf>
    <xf numFmtId="10" fontId="16" fillId="6" borderId="3" applyAlignment="1" pivotButton="0" quotePrefix="0" xfId="0">
      <alignment horizontal="center" vertical="center"/>
    </xf>
    <xf numFmtId="0" fontId="15" fillId="7" borderId="3" applyAlignment="1" pivotButton="0" quotePrefix="0" xfId="0">
      <alignment horizontal="center" vertical="center" wrapText="1"/>
    </xf>
    <xf numFmtId="0" fontId="15" fillId="7" borderId="3" applyAlignment="1" pivotButton="0" quotePrefix="0" xfId="0">
      <alignment horizontal="left" vertical="center"/>
    </xf>
    <xf numFmtId="165" fontId="16" fillId="6" borderId="3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 wrapText="1"/>
    </xf>
    <xf numFmtId="0" fontId="15" fillId="8" borderId="3" applyAlignment="1" pivotButton="0" quotePrefix="0" xfId="0">
      <alignment horizontal="left" vertical="center"/>
    </xf>
    <xf numFmtId="10" fontId="18" fillId="6" borderId="3" applyAlignment="1" pivotButton="0" quotePrefix="0" xfId="0">
      <alignment horizontal="center" vertical="center"/>
    </xf>
    <xf numFmtId="0" fontId="15" fillId="9" borderId="3" applyAlignment="1" pivotButton="0" quotePrefix="0" xfId="0">
      <alignment horizontal="center" vertical="center" wrapText="1"/>
    </xf>
    <xf numFmtId="0" fontId="15" fillId="9" borderId="3" applyAlignment="1" pivotButton="0" quotePrefix="0" xfId="0">
      <alignment horizontal="left" vertical="center" wrapText="1"/>
    </xf>
    <xf numFmtId="0" fontId="15" fillId="9" borderId="3" applyAlignment="1" pivotButton="0" quotePrefix="0" xfId="0">
      <alignment horizontal="left" vertical="center"/>
    </xf>
    <xf numFmtId="0" fontId="11" fillId="0" borderId="8" applyAlignment="1" pivotButton="0" quotePrefix="0" xfId="0">
      <alignment vertical="center"/>
    </xf>
    <xf numFmtId="0" fontId="18" fillId="6" borderId="3" applyAlignment="1" pivotButton="0" quotePrefix="0" xfId="0">
      <alignment horizontal="center" vertical="center"/>
    </xf>
    <xf numFmtId="10" fontId="18" fillId="6" borderId="3" applyAlignment="1" pivotButton="0" quotePrefix="0" xfId="0">
      <alignment horizontal="center" vertical="center"/>
    </xf>
    <xf numFmtId="0" fontId="15" fillId="1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vertical="center"/>
    </xf>
    <xf numFmtId="0" fontId="15" fillId="10" borderId="3" applyAlignment="1" pivotButton="0" quotePrefix="0" xfId="0">
      <alignment horizontal="left" vertical="center"/>
    </xf>
    <xf numFmtId="3" fontId="19" fillId="6" borderId="3" applyAlignment="1" pivotButton="0" quotePrefix="0" xfId="0">
      <alignment horizontal="center" vertical="center"/>
    </xf>
    <xf numFmtId="10" fontId="20" fillId="6" borderId="3" applyAlignment="1" pivotButton="0" quotePrefix="0" xfId="0">
      <alignment horizontal="center" vertical="center"/>
    </xf>
    <xf numFmtId="4" fontId="16" fillId="6" borderId="3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  <xf numFmtId="0" fontId="11" fillId="0" borderId="2" applyAlignment="1" pivotButton="0" quotePrefix="0" xfId="0">
      <alignment vertical="center"/>
    </xf>
    <xf numFmtId="3" fontId="18" fillId="6" borderId="3" applyAlignment="1" pivotButton="0" quotePrefix="0" xfId="0">
      <alignment horizontal="center" vertical="center"/>
    </xf>
    <xf numFmtId="165" fontId="18" fillId="6" borderId="3" applyAlignment="1" pivotButton="0" quotePrefix="0" xfId="0">
      <alignment horizontal="center" vertical="center"/>
    </xf>
    <xf numFmtId="10" fontId="18" fillId="6" borderId="3" applyAlignment="1" pivotButton="0" quotePrefix="0" xfId="0">
      <alignment horizontal="center" vertical="center"/>
    </xf>
    <xf numFmtId="1" fontId="18" fillId="6" borderId="3" applyAlignment="1" pivotButton="0" quotePrefix="0" xfId="0">
      <alignment horizontal="center" vertical="center"/>
    </xf>
    <xf numFmtId="1" fontId="19" fillId="6" borderId="3" applyAlignment="1" pivotButton="0" quotePrefix="0" xfId="0">
      <alignment horizontal="center" vertical="center"/>
    </xf>
    <xf numFmtId="0" fontId="21" fillId="0" borderId="1" applyAlignment="1" pivotButton="0" quotePrefix="0" xfId="0">
      <alignment horizontal="left" vertical="center" wrapText="1"/>
    </xf>
    <xf numFmtId="0" fontId="22" fillId="0" borderId="1" applyAlignment="1" pivotButton="0" quotePrefix="0" xfId="0">
      <alignment horizontal="left" vertical="center" wrapText="1"/>
    </xf>
    <xf numFmtId="0" fontId="7" fillId="2" borderId="3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6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N8"/>
  <sheetViews>
    <sheetView tabSelected="1" workbookViewId="0">
      <pane xSplit="1" ySplit="6" topLeftCell="B7" activePane="bottomRight" state="frozen"/>
      <selection activeCell="A1" sqref="A1"/>
    </sheetView>
  </sheetViews>
  <sheetFormatPr baseColWidth="10" defaultColWidth="9" defaultRowHeight="15" customHeight="1"/>
  <cols>
    <col width="7.998046875" customWidth="1" style="7" min="1" max="1"/>
    <col width="7.166015625" customWidth="1" style="7" min="2" max="2"/>
    <col width="9.83203125" customWidth="1" style="7" min="3" max="3"/>
    <col width="9.6650390625" customWidth="1" style="7" min="4" max="4"/>
    <col width="14.8330078125" customWidth="1" style="7" min="5" max="5"/>
    <col width="9.6650390625" customWidth="1" style="7" min="6" max="6"/>
    <col width="9.498046875" customWidth="1" style="7" min="7" max="7"/>
    <col width="8.666015625" customWidth="1" style="7" min="8" max="8"/>
    <col width="8.8330078125" customWidth="1" style="7" min="9" max="9"/>
    <col width="9.3310546875" customWidth="1" style="7" min="10" max="10"/>
    <col width="10.3330078125" customWidth="1" style="7" min="11" max="11"/>
    <col width="9.498046875" customWidth="1" style="7" min="12" max="12"/>
    <col width="7.8310546875" customWidth="1" style="7" min="13" max="13"/>
    <col width="9.1640625" customWidth="1" style="7" min="14" max="14"/>
    <col width="71.5400390625" customWidth="1" style="7" min="15" max="15"/>
    <col width="12.6650390625" customWidth="1" style="8" min="16" max="16"/>
    <col width="9" customWidth="1" style="7" min="17" max="40"/>
  </cols>
  <sheetData>
    <row r="1" ht="33" customFormat="1" customHeight="1" s="28">
      <c r="A1" s="69" t="inlineStr">
        <is>
          <t>运营六组周会会议纪要</t>
        </is>
      </c>
      <c r="B1" s="70" t="n"/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1" t="n"/>
    </row>
    <row r="2" ht="21" customFormat="1" customHeight="1" s="28">
      <c r="A2" s="11" t="inlineStr">
        <is>
          <t>会议主题</t>
        </is>
      </c>
      <c r="B2" s="70" t="n"/>
      <c r="C2" s="70" t="n"/>
      <c r="D2" s="70" t="n"/>
      <c r="E2" s="70" t="n"/>
      <c r="F2" s="70" t="n"/>
      <c r="G2" s="71" t="n"/>
      <c r="H2" s="13" t="inlineStr">
        <is>
          <t>运营六组周会</t>
        </is>
      </c>
      <c r="I2" s="70" t="n"/>
      <c r="J2" s="70" t="n"/>
      <c r="K2" s="70" t="n"/>
      <c r="L2" s="70" t="n"/>
      <c r="M2" s="70" t="n"/>
      <c r="N2" s="70" t="n"/>
      <c r="O2" s="70" t="n"/>
      <c r="P2" s="23" t="n"/>
    </row>
    <row r="3" ht="21" customFormat="1" customHeight="1" s="28">
      <c r="A3" s="11" t="inlineStr">
        <is>
          <t>会议时间</t>
        </is>
      </c>
      <c r="B3" s="70" t="n"/>
      <c r="C3" s="70" t="n"/>
      <c r="D3" s="70" t="n"/>
      <c r="E3" s="70" t="n"/>
      <c r="F3" s="70" t="n"/>
      <c r="G3" s="71" t="n"/>
      <c r="H3" s="14" t="n">
        <v>46237</v>
      </c>
      <c r="I3" s="70" t="n"/>
      <c r="J3" s="70" t="n"/>
      <c r="K3" s="70" t="n"/>
      <c r="L3" s="70" t="n"/>
      <c r="M3" s="70" t="n"/>
      <c r="N3" s="70" t="n"/>
      <c r="O3" s="70" t="n"/>
      <c r="P3" s="23" t="n"/>
    </row>
    <row r="4" ht="21" customFormat="1" customHeight="1" s="28">
      <c r="A4" s="15" t="inlineStr">
        <is>
          <t>主持人</t>
        </is>
      </c>
      <c r="B4" s="16" t="n"/>
      <c r="C4" s="72" t="n"/>
      <c r="D4" s="72" t="n"/>
      <c r="E4" s="72" t="n"/>
      <c r="F4" s="72" t="n"/>
      <c r="G4" s="73" t="n"/>
      <c r="H4" s="12" t="inlineStr">
        <is>
          <t>记录员</t>
        </is>
      </c>
      <c r="I4" s="70" t="n"/>
      <c r="J4" s="70" t="n"/>
      <c r="K4" s="70" t="n"/>
      <c r="L4" s="70" t="n"/>
      <c r="M4" s="70" t="n"/>
      <c r="N4" s="71" t="n"/>
      <c r="O4" s="13" t="inlineStr">
        <is>
          <t>化一博</t>
        </is>
      </c>
      <c r="P4" s="24" t="n"/>
    </row>
    <row r="5" ht="21" customFormat="1" customHeight="1" s="28">
      <c r="A5" s="17" t="inlineStr">
        <is>
          <t>参会人员</t>
        </is>
      </c>
      <c r="B5" s="70" t="n"/>
      <c r="C5" s="70" t="n"/>
      <c r="D5" s="70" t="n"/>
      <c r="E5" s="70" t="n"/>
      <c r="F5" s="70" t="n"/>
      <c r="G5" s="71" t="n"/>
      <c r="H5" s="12" t="n"/>
      <c r="I5" s="70" t="n"/>
      <c r="J5" s="70" t="n"/>
      <c r="K5" s="70" t="n"/>
      <c r="L5" s="70" t="n"/>
      <c r="M5" s="70" t="n"/>
      <c r="N5" s="70" t="n"/>
      <c r="O5" s="70" t="n"/>
      <c r="P5" s="71" t="n"/>
    </row>
    <row r="6" ht="49" customFormat="1" customHeight="1" s="28">
      <c r="A6" s="20" t="inlineStr">
        <is>
          <t>发言人</t>
        </is>
      </c>
      <c r="B6" s="26" t="inlineStr">
        <is>
          <t>上周工作内容&amp;本周工作计划&amp;跨部门会议精神传达</t>
        </is>
      </c>
      <c r="C6" s="72" t="n"/>
      <c r="D6" s="72" t="n"/>
      <c r="E6" s="72" t="n"/>
      <c r="F6" s="72" t="n"/>
      <c r="G6" s="72" t="n"/>
      <c r="H6" s="72" t="n"/>
      <c r="I6" s="72" t="n"/>
      <c r="J6" s="72" t="n"/>
      <c r="K6" s="72" t="n"/>
      <c r="L6" s="72" t="n"/>
      <c r="M6" s="72" t="n"/>
      <c r="N6" s="72" t="n"/>
      <c r="O6" s="72" t="n"/>
      <c r="P6" s="21" t="inlineStr">
        <is>
          <t>问题&amp;备注</t>
        </is>
      </c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  <c r="AL6" s="7" t="n"/>
      <c r="AM6" s="7" t="n"/>
      <c r="AN6" s="7" t="n"/>
    </row>
    <row r="7" ht="383.5" customFormat="1" customHeight="1" s="6">
      <c r="A7" s="11" t="inlineStr">
        <is>
          <t>六组</t>
        </is>
      </c>
      <c r="B7" s="67" t="inlineStr">
        <is>
          <t>一. 本周重点任务：
1. 领星预警规则设定
2. 利润核算及分析skills
3. 广告数据分析和skills制作
4. 1520/1525/165/套三/显性 全站点提升DMS
5. 新品牌注册
6. 欧洲同步链接检查，补上图片，修正文案，加入GPSR说明书
7. 儿童款相框上连接</t>
        </is>
      </c>
      <c r="C7" s="70" t="n"/>
      <c r="D7" s="70" t="n"/>
      <c r="E7" s="70" t="n"/>
      <c r="F7" s="70" t="n"/>
      <c r="G7" s="70" t="n"/>
      <c r="H7" s="70" t="n"/>
      <c r="I7" s="70" t="n"/>
      <c r="J7" s="70" t="n"/>
      <c r="K7" s="70" t="n"/>
      <c r="L7" s="70" t="n"/>
      <c r="M7" s="70" t="n"/>
      <c r="N7" s="70" t="n"/>
      <c r="O7" s="70" t="n"/>
      <c r="P7" s="2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/>
      <c r="AG7" s="7" t="n"/>
      <c r="AH7" s="7" t="n"/>
      <c r="AI7" s="7" t="n"/>
      <c r="AJ7" s="7" t="n"/>
      <c r="AK7" s="7" t="n"/>
      <c r="AL7" s="7" t="n"/>
      <c r="AM7" s="7" t="n"/>
      <c r="AN7" s="7" t="n"/>
    </row>
    <row r="8" ht="269" customHeight="1" s="74">
      <c r="A8" s="5" t="inlineStr">
        <is>
          <t>化一博</t>
        </is>
      </c>
      <c r="B8" s="68" t="inlineStr">
        <is>
          <t>上周工作内容
1、继续研究agent
2、新品广告优化 加推
3、研究AMC，提示词，SPV
4、视频点数消耗
本周工作内容
1. 235空心层板太仓借调货
2. 0920铝框全站点开广告
3. 1508滴胶压铸款上架
4. 195太仓库存补货
5. 欧洲同步链接检查，补上图片，修正文案，加入GPSR说明书
6. 老榆木页面优化需求对接
7. 加拿大日本站产品逐步提价</t>
        </is>
      </c>
      <c r="C8" s="70" t="n"/>
      <c r="D8" s="70" t="n"/>
      <c r="E8" s="70" t="n"/>
      <c r="F8" s="70" t="n"/>
      <c r="G8" s="70" t="n"/>
      <c r="H8" s="70" t="n"/>
      <c r="I8" s="70" t="n"/>
      <c r="J8" s="70" t="n"/>
      <c r="K8" s="70" t="n"/>
      <c r="L8" s="70" t="n"/>
      <c r="M8" s="70" t="n"/>
      <c r="N8" s="70" t="n"/>
      <c r="O8" s="70" t="n"/>
      <c r="P8" s="27" t="n"/>
    </row>
    <row r="9" ht="50" customHeight="1" s="74"/>
    <row r="10" ht="50" customHeight="1" s="74"/>
    <row r="11" ht="50" customHeight="1" s="74"/>
    <row r="12" ht="50" customHeight="1" s="74"/>
    <row r="13" ht="50" customHeight="1" s="74"/>
  </sheetData>
  <mergeCells count="12">
    <mergeCell ref="B8:O8"/>
    <mergeCell ref="H4:N4"/>
    <mergeCell ref="H2:O2"/>
    <mergeCell ref="H3:O3"/>
    <mergeCell ref="A1:P1"/>
    <mergeCell ref="A3:G3"/>
    <mergeCell ref="B6:O6"/>
    <mergeCell ref="H5:P5"/>
    <mergeCell ref="B7:O7"/>
    <mergeCell ref="B4:G4"/>
    <mergeCell ref="A2:G2"/>
    <mergeCell ref="A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23"/>
  <sheetViews>
    <sheetView workbookViewId="0">
      <selection activeCell="A1" sqref="A1"/>
    </sheetView>
  </sheetViews>
  <sheetFormatPr baseColWidth="10" defaultColWidth="9.9990234375" defaultRowHeight="16.5" customHeight="1"/>
  <cols>
    <col width="20.25" customWidth="1" style="74" min="2" max="2"/>
    <col width="14.4873046875" customWidth="1" style="74" min="3" max="4"/>
    <col width="17.373046875" customWidth="1" style="74" min="8" max="8"/>
    <col width="18.375" customWidth="1" style="74" min="9" max="9"/>
    <col width="18.2490234375" customWidth="1" style="74" min="10" max="10"/>
  </cols>
  <sheetData>
    <row r="1" ht="26.25" customHeight="1" s="74">
      <c r="A1" s="31" t="inlineStr">
        <is>
          <t>核心指标环比分析</t>
        </is>
      </c>
      <c r="G1" s="31" t="inlineStr">
        <is>
          <t>化一博</t>
        </is>
      </c>
    </row>
    <row r="2" ht="24.75" customHeight="1" s="74">
      <c r="A2" s="32" t="inlineStr">
        <is>
          <t>项目</t>
        </is>
      </c>
      <c r="B2" s="71" t="n"/>
      <c r="C2" s="33" t="inlineStr">
        <is>
          <t>7.19-7.25</t>
        </is>
      </c>
      <c r="D2" s="33" t="inlineStr">
        <is>
          <t>7.26-8.1</t>
        </is>
      </c>
      <c r="E2" s="34" t="inlineStr">
        <is>
          <t>环比</t>
        </is>
      </c>
      <c r="G2" s="32" t="inlineStr">
        <is>
          <t>项目</t>
        </is>
      </c>
      <c r="H2" s="71" t="n"/>
      <c r="I2" s="33" t="inlineStr">
        <is>
          <t>7.19-7.25</t>
        </is>
      </c>
      <c r="J2" s="33" t="inlineStr">
        <is>
          <t>7.26-8.1</t>
        </is>
      </c>
      <c r="K2" s="34" t="inlineStr">
        <is>
          <t>环比</t>
        </is>
      </c>
    </row>
    <row r="3" ht="20.25" customHeight="1" s="74">
      <c r="A3" s="35" t="inlineStr">
        <is>
          <t>销售维度</t>
        </is>
      </c>
      <c r="B3" s="36" t="inlineStr">
        <is>
          <t>销量</t>
        </is>
      </c>
      <c r="C3" s="37" t="n">
        <v>1762</v>
      </c>
      <c r="D3" s="37" t="n">
        <v>2399</v>
      </c>
      <c r="E3" s="38">
        <f>IF(C3=0, 0, (D3-C3)/C3)</f>
        <v/>
      </c>
      <c r="G3" s="35" t="inlineStr">
        <is>
          <t>销售维度</t>
        </is>
      </c>
      <c r="H3" s="36" t="inlineStr">
        <is>
          <t>销量</t>
        </is>
      </c>
      <c r="I3" s="37" t="n">
        <v>1249</v>
      </c>
      <c r="J3" s="37" t="n">
        <v>1365</v>
      </c>
      <c r="K3" s="38">
        <f>IF(I3=0, 0, (J3-I3)/I3)</f>
        <v/>
      </c>
    </row>
    <row r="4" ht="20.25" customHeight="1" s="74">
      <c r="A4" s="75" t="n"/>
      <c r="B4" s="36" t="inlineStr">
        <is>
          <t>销售额</t>
        </is>
      </c>
      <c r="C4" s="59" t="n">
        <v>78023</v>
      </c>
      <c r="D4" s="59" t="n">
        <v>99345.03999999999</v>
      </c>
      <c r="E4" s="38">
        <f>IF(C4=0, 0, (D4-C4)/C4)</f>
        <v/>
      </c>
      <c r="G4" s="75" t="n"/>
      <c r="H4" s="36" t="inlineStr">
        <is>
          <t>销售额</t>
        </is>
      </c>
      <c r="I4" s="59" t="n">
        <v>58180.19</v>
      </c>
      <c r="J4" s="59" t="n">
        <v>58987.11</v>
      </c>
      <c r="K4" s="38">
        <f>IF(I4=0, 0, (J4-I4)/I4)</f>
        <v/>
      </c>
    </row>
    <row r="5" ht="20.25" customHeight="1" s="74">
      <c r="A5" s="75" t="n"/>
      <c r="B5" s="36" t="inlineStr">
        <is>
          <t>客单价</t>
        </is>
      </c>
      <c r="C5" s="63">
        <f>IF(C3=0, 0, C4/C3)</f>
        <v/>
      </c>
      <c r="D5" s="63">
        <f>IF(D3=0, 0, D4/D3)</f>
        <v/>
      </c>
      <c r="E5" s="38">
        <f>(D5-C5)/C5</f>
        <v/>
      </c>
      <c r="G5" s="75" t="n"/>
      <c r="H5" s="36" t="inlineStr">
        <is>
          <t>客单价</t>
        </is>
      </c>
      <c r="I5" s="63">
        <f>IF(I3=0, 0, I4/I3)</f>
        <v/>
      </c>
      <c r="J5" s="63">
        <f>IF(J3=0, 0, J4/J3)</f>
        <v/>
      </c>
      <c r="K5" s="38">
        <f>(J5-I5)/I5</f>
        <v/>
      </c>
    </row>
    <row r="6" ht="20.25" customHeight="1" s="74">
      <c r="A6" s="75" t="n"/>
      <c r="B6" s="36" t="inlineStr">
        <is>
          <t>广告订单</t>
        </is>
      </c>
      <c r="C6" s="37" t="n">
        <v>1040</v>
      </c>
      <c r="D6" s="37" t="n">
        <v>1296</v>
      </c>
      <c r="E6" s="38">
        <f>(D6-C6)/C6</f>
        <v/>
      </c>
      <c r="G6" s="75" t="n"/>
      <c r="H6" s="36" t="inlineStr">
        <is>
          <t>广告订单</t>
        </is>
      </c>
      <c r="I6" s="37" t="n">
        <v>726</v>
      </c>
      <c r="J6" s="37" t="n">
        <v>713</v>
      </c>
      <c r="K6" s="38">
        <f>(J6-I6)/I6</f>
        <v/>
      </c>
    </row>
    <row r="7" ht="20.25" customHeight="1" s="74">
      <c r="A7" s="76" t="n"/>
      <c r="B7" s="36" t="inlineStr">
        <is>
          <t>广告订单占比</t>
        </is>
      </c>
      <c r="C7" s="41">
        <f>IF(C3=0, 0, C6/C3)</f>
        <v/>
      </c>
      <c r="D7" s="41">
        <f>IF(D3=0, 0, D6/D3)</f>
        <v/>
      </c>
      <c r="E7" s="38">
        <f>(D7-C7)/C7</f>
        <v/>
      </c>
      <c r="G7" s="76" t="n"/>
      <c r="H7" s="36" t="inlineStr">
        <is>
          <t>广告订单占比</t>
        </is>
      </c>
      <c r="I7" s="58">
        <f>IF(I3=0, 0, I6/I3)</f>
        <v/>
      </c>
      <c r="J7" s="58">
        <f>IF(J3=0, 0, J6/J3)</f>
        <v/>
      </c>
      <c r="K7" s="38">
        <f>(J7-I7)/I7</f>
        <v/>
      </c>
    </row>
    <row r="8" ht="20.25" customHeight="1" s="74">
      <c r="A8" s="42" t="inlineStr">
        <is>
          <t>利润维度</t>
        </is>
      </c>
      <c r="B8" s="43" t="inlineStr">
        <is>
          <t>订单利润额</t>
        </is>
      </c>
      <c r="C8" s="44" t="n">
        <v>16811.41</v>
      </c>
      <c r="D8" s="44" t="n">
        <v>31225.878</v>
      </c>
      <c r="E8" s="38">
        <f>(D8-C8)/C8</f>
        <v/>
      </c>
      <c r="G8" s="42" t="inlineStr">
        <is>
          <t>利润维度</t>
        </is>
      </c>
      <c r="H8" s="43" t="inlineStr">
        <is>
          <t>订单利润额</t>
        </is>
      </c>
      <c r="I8" s="44" t="n">
        <v>14953.82</v>
      </c>
      <c r="J8" s="44" t="n">
        <v>18544.53599999999</v>
      </c>
      <c r="K8" s="38">
        <f>(J8-I8)/I8</f>
        <v/>
      </c>
    </row>
    <row r="9" ht="20.25" customHeight="1" s="74">
      <c r="A9" s="75" t="n"/>
      <c r="B9" s="43" t="inlineStr">
        <is>
          <t>订单利润率</t>
        </is>
      </c>
      <c r="C9" s="41">
        <f>IF(C4=0, 0, C8/C4)</f>
        <v/>
      </c>
      <c r="D9" s="41">
        <f>IF(D4=0, 0, D8/D4)</f>
        <v/>
      </c>
      <c r="E9" s="38">
        <f>(D9-C9)/C9</f>
        <v/>
      </c>
      <c r="G9" s="75" t="n"/>
      <c r="H9" s="43" t="inlineStr">
        <is>
          <t>订单利润率</t>
        </is>
      </c>
      <c r="I9" s="58">
        <f>IF(I4=0, 0, I8/I4)</f>
        <v/>
      </c>
      <c r="J9" s="58">
        <f>IF(J4=0, 0, J8/J4)</f>
        <v/>
      </c>
      <c r="K9" s="38">
        <f>(J9-I9)/I9</f>
        <v/>
      </c>
    </row>
    <row r="10" ht="20.25" customHeight="1" s="74">
      <c r="A10" s="75" t="n"/>
      <c r="B10" s="43" t="inlineStr">
        <is>
          <t>结算利润额</t>
        </is>
      </c>
      <c r="C10" s="44" t="n">
        <v>1768.42</v>
      </c>
      <c r="D10" s="44" t="n">
        <v>12069.19</v>
      </c>
      <c r="E10" s="38">
        <f>(D10-C10)/C10</f>
        <v/>
      </c>
      <c r="G10" s="75" t="n"/>
      <c r="H10" s="43" t="inlineStr">
        <is>
          <t>结算利润额</t>
        </is>
      </c>
      <c r="I10" s="44" t="n">
        <v>4164</v>
      </c>
      <c r="J10" s="44" t="n">
        <v>11464.77999999999</v>
      </c>
      <c r="K10" s="38">
        <f>(J10-I10)/I10</f>
        <v/>
      </c>
    </row>
    <row r="11" ht="20.25" customHeight="1" s="74">
      <c r="A11" s="76" t="n"/>
      <c r="B11" s="43" t="inlineStr">
        <is>
          <t>结算利润率</t>
        </is>
      </c>
      <c r="C11" s="41">
        <f>IF(C4=0, 0, C10/C4)</f>
        <v/>
      </c>
      <c r="D11" s="41">
        <f>IF(D4=0, 0, D10/D4)</f>
        <v/>
      </c>
      <c r="E11" s="38">
        <f>(D11-C11)/C11</f>
        <v/>
      </c>
      <c r="G11" s="76" t="n"/>
      <c r="H11" s="43" t="inlineStr">
        <is>
          <t>结算利润率</t>
        </is>
      </c>
      <c r="I11" s="58">
        <f>IF(I4=0, 0, I10/I4)</f>
        <v/>
      </c>
      <c r="J11" s="58">
        <f>IF(J4=0, 0, J10/J4)</f>
        <v/>
      </c>
      <c r="K11" s="38">
        <f>(J11-I11)/I11</f>
        <v/>
      </c>
    </row>
    <row r="12" ht="20.25" customHeight="1" s="74">
      <c r="A12" s="45" t="inlineStr">
        <is>
          <t>广告维度</t>
        </is>
      </c>
      <c r="B12" s="46" t="inlineStr">
        <is>
          <t>广告花费</t>
        </is>
      </c>
      <c r="C12" s="44" t="n">
        <v>14364.41</v>
      </c>
      <c r="D12" s="44" t="n">
        <v>19641.52</v>
      </c>
      <c r="E12" s="38">
        <f>(D12-C12)/C12</f>
        <v/>
      </c>
      <c r="G12" s="45" t="inlineStr">
        <is>
          <t>广告维度</t>
        </is>
      </c>
      <c r="H12" s="46" t="inlineStr">
        <is>
          <t>广告花费</t>
        </is>
      </c>
      <c r="I12" s="44" t="n">
        <v>9866.299999999999</v>
      </c>
      <c r="J12" s="44" t="n">
        <v>10767.31000000001</v>
      </c>
      <c r="K12" s="38">
        <f>(J12-I12)/I12</f>
        <v/>
      </c>
    </row>
    <row r="13" ht="20.25" customHeight="1" s="74">
      <c r="A13" s="76" t="n"/>
      <c r="B13" s="46" t="inlineStr">
        <is>
          <t>AcoAs</t>
        </is>
      </c>
      <c r="C13" s="64">
        <f>IF(C4=0, 0, C12/C4)</f>
        <v/>
      </c>
      <c r="D13" s="64">
        <f>IF(D4=0, 0, D12/D4)</f>
        <v/>
      </c>
      <c r="E13" s="38">
        <f>(D13-C13)/C13</f>
        <v/>
      </c>
      <c r="G13" s="76" t="n"/>
      <c r="H13" s="46" t="inlineStr">
        <is>
          <t>AcoAs</t>
        </is>
      </c>
      <c r="I13" s="64">
        <f>IF(I4=0, 0, I12/I4)</f>
        <v/>
      </c>
      <c r="J13" s="64">
        <f>IF(J4=0, 0, J12/J4)</f>
        <v/>
      </c>
      <c r="K13" s="38">
        <f>(J13-I13)/I13</f>
        <v/>
      </c>
    </row>
    <row r="14" ht="59.25" customHeight="1" s="74">
      <c r="A14" s="48" t="inlineStr">
        <is>
          <t>库存维度</t>
        </is>
      </c>
      <c r="B14" s="49" t="inlineStr">
        <is>
          <t>当前仓内库存 （FBA可售+调仓）</t>
        </is>
      </c>
      <c r="C14" s="37" t="n">
        <v>35234</v>
      </c>
      <c r="D14" s="37" t="n">
        <v>37602</v>
      </c>
      <c r="E14" s="38">
        <f>(D14-C14)/C14</f>
        <v/>
      </c>
      <c r="G14" s="48" t="inlineStr">
        <is>
          <t>库存维度</t>
        </is>
      </c>
      <c r="H14" s="49" t="inlineStr">
        <is>
          <t>当前仓内库存 （FBA可售+调仓）</t>
        </is>
      </c>
      <c r="I14" s="37" t="n">
        <v>18832</v>
      </c>
      <c r="J14" s="37" t="n">
        <v>21181</v>
      </c>
      <c r="K14" s="38">
        <f>(J14-I14)/I14</f>
        <v/>
      </c>
    </row>
    <row r="15" ht="20.25" customHeight="1" s="74">
      <c r="A15" s="75" t="n"/>
      <c r="B15" s="50" t="inlineStr">
        <is>
          <t>预计可销天数</t>
        </is>
      </c>
      <c r="C15" s="62">
        <f>IF(C16=0, 0, C14/C16)</f>
        <v/>
      </c>
      <c r="D15" s="62">
        <f>IF(D16=0, 0, D14/D16)</f>
        <v/>
      </c>
      <c r="E15" s="38">
        <f>(D15-C15)/C15</f>
        <v/>
      </c>
      <c r="G15" s="75" t="n"/>
      <c r="H15" s="50" t="inlineStr">
        <is>
          <t>预计可销天数</t>
        </is>
      </c>
      <c r="I15" s="65">
        <f>IF(I16=0, 0, I14/I16)</f>
        <v/>
      </c>
      <c r="J15" s="65">
        <f>IF(J16=0, 0, J14/J16)</f>
        <v/>
      </c>
      <c r="K15" s="38">
        <f>(J15-I15)/I15</f>
        <v/>
      </c>
    </row>
    <row r="16" ht="20.25" customHeight="1" s="74">
      <c r="A16" s="75" t="n"/>
      <c r="B16" s="50" t="inlineStr">
        <is>
          <t>周平均日销</t>
        </is>
      </c>
      <c r="C16" s="57">
        <f>C3/7</f>
        <v/>
      </c>
      <c r="D16" s="57">
        <f>D3/7</f>
        <v/>
      </c>
      <c r="E16" s="38">
        <f>(D16-C16)/C16</f>
        <v/>
      </c>
      <c r="G16" s="75" t="n"/>
      <c r="H16" s="50" t="inlineStr">
        <is>
          <t>周平均日销</t>
        </is>
      </c>
      <c r="I16" s="66">
        <f>I3/7</f>
        <v/>
      </c>
      <c r="J16" s="66">
        <f>J3/7</f>
        <v/>
      </c>
      <c r="K16" s="38">
        <f>(J16-I16)/I16</f>
        <v/>
      </c>
    </row>
    <row r="17" ht="20.25" customHeight="1" s="74">
      <c r="A17" s="75" t="n"/>
      <c r="B17" s="50" t="inlineStr">
        <is>
          <t>库龄90~180天</t>
        </is>
      </c>
      <c r="C17" s="37" t="n">
        <v>896</v>
      </c>
      <c r="D17" s="37" t="n">
        <v>685</v>
      </c>
      <c r="E17" s="38">
        <f>(D17-C17)/C17</f>
        <v/>
      </c>
      <c r="G17" s="75" t="n"/>
      <c r="H17" s="50" t="inlineStr">
        <is>
          <t>库龄90~180天</t>
        </is>
      </c>
      <c r="I17" s="37" t="n">
        <v>623</v>
      </c>
      <c r="J17" s="37" t="n">
        <v>544</v>
      </c>
      <c r="K17" s="38">
        <f>(J17-I17)/I17</f>
        <v/>
      </c>
    </row>
    <row r="18" ht="20.25" customHeight="1" s="74">
      <c r="A18" s="75" t="n"/>
      <c r="B18" s="50" t="inlineStr">
        <is>
          <t>库龄180~270天</t>
        </is>
      </c>
      <c r="C18" s="37" t="n">
        <v>282</v>
      </c>
      <c r="D18" s="37" t="n">
        <v>228</v>
      </c>
      <c r="E18" s="38">
        <f>(D18-C18)/C18</f>
        <v/>
      </c>
      <c r="G18" s="75" t="n"/>
      <c r="H18" s="50" t="inlineStr">
        <is>
          <t>库龄180~270天</t>
        </is>
      </c>
      <c r="I18" s="37" t="n">
        <v>0</v>
      </c>
      <c r="J18" s="37" t="n">
        <v>0</v>
      </c>
      <c r="K18" s="38">
        <f>(J18-I18)/I18</f>
        <v/>
      </c>
    </row>
    <row r="19" ht="20.25" customHeight="1" s="74">
      <c r="A19" s="75" t="n"/>
      <c r="B19" s="50" t="inlineStr">
        <is>
          <t>库龄270天以上</t>
        </is>
      </c>
      <c r="C19" s="37" t="n">
        <v>0</v>
      </c>
      <c r="D19" s="37" t="n">
        <v>0</v>
      </c>
      <c r="E19" s="38">
        <f>(D19-C19)/C19</f>
        <v/>
      </c>
      <c r="G19" s="75" t="n"/>
      <c r="H19" s="50" t="inlineStr">
        <is>
          <t>库龄270天以上</t>
        </is>
      </c>
      <c r="I19" s="37" t="n">
        <v>0</v>
      </c>
      <c r="J19" s="37" t="n">
        <v>0</v>
      </c>
      <c r="K19" s="38">
        <f>(J19-I19)/I19</f>
        <v/>
      </c>
    </row>
    <row r="20" ht="20.25" customHeight="1" s="74">
      <c r="A20" s="76" t="n"/>
      <c r="B20" s="50" t="inlineStr">
        <is>
          <t>太仓仓库库存</t>
        </is>
      </c>
      <c r="C20" s="37" t="n">
        <v>0</v>
      </c>
      <c r="D20" s="37" t="n"/>
      <c r="E20" s="38">
        <f>(D20-C20)/C20</f>
        <v/>
      </c>
      <c r="G20" s="76" t="n"/>
      <c r="H20" s="50" t="inlineStr">
        <is>
          <t>太仓仓库库存</t>
        </is>
      </c>
      <c r="I20" s="37" t="n">
        <v>0</v>
      </c>
      <c r="J20" s="37" t="n"/>
      <c r="K20" s="38">
        <f>(J20-I20)/I20</f>
        <v/>
      </c>
    </row>
    <row r="21" ht="20.25" customHeight="1" s="74">
      <c r="A21" s="54" t="inlineStr">
        <is>
          <t>资金维度</t>
        </is>
      </c>
      <c r="B21" s="56" t="inlineStr">
        <is>
          <t>额定资金使用量</t>
        </is>
      </c>
      <c r="C21" s="52" t="n">
        <v>2306613</v>
      </c>
      <c r="D21" s="52" t="n"/>
      <c r="E21" s="38">
        <f>(D21-C21)/C21</f>
        <v/>
      </c>
      <c r="G21" s="54" t="inlineStr">
        <is>
          <t>资金维度</t>
        </is>
      </c>
      <c r="H21" s="56" t="inlineStr">
        <is>
          <t>额定资金使用量</t>
        </is>
      </c>
      <c r="I21" s="52" t="n">
        <v>2306613</v>
      </c>
      <c r="J21" s="52" t="n"/>
      <c r="K21" s="38">
        <f>(J21-I21)/I21</f>
        <v/>
      </c>
    </row>
    <row r="22" ht="20.25" customHeight="1" s="74">
      <c r="A22" s="75" t="n"/>
      <c r="B22" s="56" t="inlineStr">
        <is>
          <t>实际资金使用</t>
        </is>
      </c>
      <c r="C22" s="59" t="n">
        <v>2600602.92</v>
      </c>
      <c r="D22" s="59" t="n"/>
      <c r="E22" s="38">
        <f>(D22-C22)/C22</f>
        <v/>
      </c>
      <c r="G22" s="75" t="n"/>
      <c r="H22" s="56" t="inlineStr">
        <is>
          <t>实际资金使用</t>
        </is>
      </c>
      <c r="I22" s="37" t="n">
        <v>1578026</v>
      </c>
      <c r="J22" s="37" t="n"/>
      <c r="K22" s="38">
        <f>(J22-I22)/I22</f>
        <v/>
      </c>
    </row>
    <row r="23" ht="20.25" customHeight="1" s="74">
      <c r="A23" s="76" t="n"/>
      <c r="B23" s="56" t="inlineStr">
        <is>
          <t>资金使用率</t>
        </is>
      </c>
      <c r="C23" s="64">
        <f>IF(C21=0, 0, C22/C21)</f>
        <v/>
      </c>
      <c r="D23" s="64" t="n"/>
      <c r="E23" s="38">
        <f>(D23-C23)/C23</f>
        <v/>
      </c>
      <c r="G23" s="76" t="n"/>
      <c r="H23" s="56" t="inlineStr">
        <is>
          <t>资金使用率</t>
        </is>
      </c>
      <c r="I23" s="64">
        <f>IF(I21=0, 0, I22/I21)</f>
        <v/>
      </c>
      <c r="J23" s="64" t="n"/>
      <c r="K23" s="38">
        <f>(J23-I23)/I23</f>
        <v/>
      </c>
    </row>
  </sheetData>
  <mergeCells count="14">
    <mergeCell ref="A21:A23"/>
    <mergeCell ref="A2:B2"/>
    <mergeCell ref="G21:G23"/>
    <mergeCell ref="A8:A11"/>
    <mergeCell ref="G2:H2"/>
    <mergeCell ref="A12:A13"/>
    <mergeCell ref="G12:G13"/>
    <mergeCell ref="G8:G11"/>
    <mergeCell ref="G3:G7"/>
    <mergeCell ref="G1:K1"/>
    <mergeCell ref="G14:G20"/>
    <mergeCell ref="A1:E1"/>
    <mergeCell ref="A3:A7"/>
    <mergeCell ref="A14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2026-08-02T10:43:29Z</dcterms:modified>
  <cp:lastModifiedBy>DingTalk</cp:lastModifiedBy>
</cp:coreProperties>
</file>